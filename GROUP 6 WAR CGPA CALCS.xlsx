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use\OneDrive\Desktop\GROUP 6 WAR MATLAB\"/>
    </mc:Choice>
  </mc:AlternateContent>
  <xr:revisionPtr revIDLastSave="0" documentId="13_ncr:1_{EF3F120C-AF4B-44FA-9FF3-220947D8D6F5}" xr6:coauthVersionLast="47" xr6:coauthVersionMax="47" xr10:uidLastSave="{00000000-0000-0000-0000-000000000000}"/>
  <bookViews>
    <workbookView xWindow="-110" yWindow="-110" windowWidth="19420" windowHeight="10300" xr2:uid="{A5D1F05F-816D-4E1A-B225-0CF5890A07A9}"/>
  </bookViews>
  <sheets>
    <sheet name="MA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I4" i="1" a="1"/>
  <c r="I4" i="1" s="1"/>
  <c r="I5" i="1" a="1"/>
  <c r="I5" i="1"/>
  <c r="I6" i="1" a="1"/>
  <c r="I6" i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<sst xmlns="http://schemas.openxmlformats.org/spreadsheetml/2006/main" count="21" uniqueCount="21">
  <si>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NAMES OF STUDENTS</t>
  </si>
  <si>
    <t>Akiteng Deborah</t>
  </si>
  <si>
    <t>Akwir Mercy Lean</t>
  </si>
  <si>
    <t>Auma Pretty</t>
  </si>
  <si>
    <t>Elepot Erasmus Wandera</t>
  </si>
  <si>
    <t>Opus Jonah</t>
  </si>
  <si>
    <t>Kinobe Solomon James</t>
  </si>
  <si>
    <t>Bwire Elvis</t>
  </si>
  <si>
    <t>Acheng Gift Oliver</t>
  </si>
  <si>
    <t>Okuo Lawyers</t>
  </si>
  <si>
    <t>Olinga Jonathan</t>
  </si>
  <si>
    <t>MATH 2</t>
  </si>
  <si>
    <t>SURVEYING</t>
  </si>
  <si>
    <t>AUTO CAD</t>
  </si>
  <si>
    <t>FLUID MECHANICS</t>
  </si>
  <si>
    <t>THERMODYNAMICS</t>
  </si>
  <si>
    <t>ENVIROMENTAL SCIENCE</t>
  </si>
  <si>
    <t>GPA 1</t>
  </si>
  <si>
    <t>CGPA</t>
  </si>
  <si>
    <t>WAR MARKS OF SEMESTER 2</t>
  </si>
  <si>
    <t>GPA2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</si>
</sst>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6798-CFAD-426D-80EE-81910F0E86B4}">
  <dimension ref="A1:J12"/>
  <sheetViews>
    <sheetView tabSelected="1" workbookViewId="0">
      <selection activeCell="L7" sqref="L7"/>
    </sheetView>
  </sheetViews>
  <sheetFormatPr defaultRowHeight="14.5" x14ac:dyDescent="0.35"/>
  <cols>
    <col min="1" max="1" width="21.36328125" customWidth="1"/>
    <col min="2" max="2" width="11.81640625" customWidth="1"/>
    <col min="3" max="3" width="12.26953125" customWidth="1"/>
    <col min="4" max="4" width="13.1796875" customWidth="1"/>
    <col min="5" max="5" width="18.6328125" customWidth="1"/>
    <col min="6" max="6" width="16.54296875" customWidth="1"/>
    <col min="7" max="7" width="22.36328125" customWidth="1"/>
    <col min="10" max="10" width="9.36328125" bestFit="1" customWidth="1"/>
  </cols>
  <sheetData>
    <row r="1" spans="1:10" x14ac:dyDescent="0.35">
      <c r="A1" s="1" t="s">
        <v>19</v>
      </c>
      <c r="B1" s="1"/>
      <c r="C1" s="1"/>
      <c r="D1" s="1"/>
      <c r="E1" s="1"/>
      <c r="F1" s="1"/>
      <c r="G1" s="1"/>
      <c r="H1" s="1"/>
      <c r="I1" s="1"/>
    </row>
    <row r="2" spans="1:10" x14ac:dyDescent="0.35">
      <c r="A2" t="s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20</v>
      </c>
      <c r="J2" t="s">
        <v>18</v>
      </c>
    </row>
    <row r="3" spans="1:10" x14ac:dyDescent="0.35">
      <c r="A3" t="s">
        <v>1</v>
      </c>
      <c r="B3">
        <v>55</v>
      </c>
      <c r="C3">
        <v>88</v>
      </c>
      <c r="D3">
        <v>95</v>
      </c>
      <c r="E3">
        <v>56</v>
      </c>
      <c r="F3">
        <v>50</v>
      </c>
      <c r="G3">
        <v>60</v>
      </c>
      <c r="H3" s="2">
        <v>3.65</v>
      </c>
      <c r="I3" s="2">
        <v>3.65</v>
      </c>
      <c r="J3" s="2">
        <v>3.65</v>
      </c>
    </row>
    <row r="4" spans="1:10" x14ac:dyDescent="0.35">
      <c r="A4" t="s">
        <v>2</v>
      </c>
      <c r="B4">
        <v>65</v>
      </c>
      <c r="C4">
        <v>78</v>
      </c>
      <c r="D4">
        <v>78</v>
      </c>
      <c r="E4">
        <v>78</v>
      </c>
      <c r="F4">
        <v>51</v>
      </c>
      <c r="G4">
        <v>67</v>
      </c>
      <c r="H4" s="2">
        <v>4.5</v>
      </c>
      <c r="I4" s="2" cm="1">
        <f t="array" ref="I4">AVERAGE(_xlfn.IFS(B3:G3&gt;=80, 5, B3:G3&gt;=75, 4.5, B3:G3&gt;=70, 4, B3:G3&gt;=65, 3.5, B3:G3&gt;=60, 3, B3:G3&gt;=55, 2.5, B3:G3&gt;=50, 2, TRUE,0))</f>
        <v>3.3333333333333335</v>
      </c>
      <c r="J4" s="2">
        <f t="shared" ref="J4:J12" si="0">((H4+I4)/2)</f>
        <v>3.916666666666667</v>
      </c>
    </row>
    <row r="5" spans="1:10" x14ac:dyDescent="0.35">
      <c r="A5" t="s">
        <v>3</v>
      </c>
      <c r="B5">
        <v>23</v>
      </c>
      <c r="C5">
        <v>72</v>
      </c>
      <c r="D5">
        <v>56</v>
      </c>
      <c r="E5">
        <v>67</v>
      </c>
      <c r="F5">
        <v>76</v>
      </c>
      <c r="G5">
        <v>78</v>
      </c>
      <c r="H5" s="2">
        <v>4.3</v>
      </c>
      <c r="I5" s="2" cm="1">
        <f t="array" ref="I5">AVERAGE(_xlfn.IFS(B4:G4&gt;=80, 5, B4:G4&gt;=75, 4.5, B4:G4&gt;=70, 4, B4:G4&gt;=65, 3.5, B4:G4&gt;=60, 3, B4:G4&gt;=55, 2.5, B4:G4&gt;=50, 2, TRUE,0))</f>
        <v>3.75</v>
      </c>
      <c r="J5" s="2">
        <f t="shared" si="0"/>
        <v>4.0250000000000004</v>
      </c>
    </row>
    <row r="6" spans="1:10" x14ac:dyDescent="0.35">
      <c r="A6" t="s">
        <v>4</v>
      </c>
      <c r="B6">
        <v>76</v>
      </c>
      <c r="C6">
        <v>65</v>
      </c>
      <c r="D6">
        <v>78</v>
      </c>
      <c r="E6">
        <v>89</v>
      </c>
      <c r="F6">
        <v>53</v>
      </c>
      <c r="G6">
        <v>76</v>
      </c>
      <c r="H6" s="2">
        <v>3.7</v>
      </c>
      <c r="I6" s="2" cm="1">
        <f t="array" ref="I6">AVERAGE(_xlfn.IFS(B5:G5&gt;=80, 5, B5:G5&gt;=75, 4.5, B5:G5&gt;=70, 4, B5:G5&gt;=65, 3.5, B5:G5&gt;=60, 3, B5:G5&gt;=55, 2.5, B5:G5&gt;=50, 2, TRUE,0))</f>
        <v>3.1666666666666665</v>
      </c>
      <c r="J6" s="2">
        <f t="shared" si="0"/>
        <v>3.4333333333333336</v>
      </c>
    </row>
    <row r="7" spans="1:10" x14ac:dyDescent="0.35">
      <c r="A7" t="s">
        <v>5</v>
      </c>
      <c r="B7">
        <v>60</v>
      </c>
      <c r="C7">
        <v>45</v>
      </c>
      <c r="D7">
        <v>23</v>
      </c>
      <c r="E7">
        <v>87</v>
      </c>
      <c r="F7">
        <v>54</v>
      </c>
      <c r="G7">
        <v>78</v>
      </c>
      <c r="H7" s="2">
        <v>3.98</v>
      </c>
      <c r="I7" s="2" cm="1">
        <f t="array" ref="I7">AVERAGE(_xlfn.IFS(B6:G6&gt;=80, 5, B6:G6&gt;=75, 4.5, B6:G6&gt;=70, 4, B6:G6&gt;=65, 3.5, B6:G6&gt;=60, 3, B6:G6&gt;=55, 2.5, B6:G6&gt;=50, 2, TRUE,0))</f>
        <v>4</v>
      </c>
      <c r="J7" s="2">
        <f t="shared" si="0"/>
        <v>3.99</v>
      </c>
    </row>
    <row r="8" spans="1:10" x14ac:dyDescent="0.35">
      <c r="A8" t="s">
        <v>6</v>
      </c>
      <c r="B8">
        <v>45</v>
      </c>
      <c r="C8">
        <v>55</v>
      </c>
      <c r="D8">
        <v>67</v>
      </c>
      <c r="E8">
        <v>67</v>
      </c>
      <c r="F8">
        <v>53</v>
      </c>
      <c r="G8">
        <v>65</v>
      </c>
      <c r="H8" s="2">
        <v>3.4</v>
      </c>
      <c r="I8" s="2" cm="1">
        <f t="array" ref="I8">AVERAGE(_xlfn.IFS(B7:G7&gt;=80, 5, B7:G7&gt;=75, 4.5, B7:G7&gt;=70, 4, B7:G7&gt;=65, 3.5, B7:G7&gt;=60, 3, B7:G7&gt;=55, 2.5, B7:G7&gt;=50, 2, TRUE,0))</f>
        <v>2.4166666666666665</v>
      </c>
      <c r="J8" s="2">
        <f t="shared" si="0"/>
        <v>2.9083333333333332</v>
      </c>
    </row>
    <row r="9" spans="1:10" x14ac:dyDescent="0.35">
      <c r="A9" t="s">
        <v>7</v>
      </c>
      <c r="B9">
        <v>56</v>
      </c>
      <c r="C9">
        <v>67</v>
      </c>
      <c r="D9">
        <v>98</v>
      </c>
      <c r="E9">
        <v>56</v>
      </c>
      <c r="F9">
        <v>59</v>
      </c>
      <c r="G9">
        <v>66</v>
      </c>
      <c r="H9" s="2">
        <v>3.33</v>
      </c>
      <c r="I9" s="2" cm="1">
        <f t="array" ref="I9">AVERAGE(_xlfn.IFS(B8:G8&gt;=80, 5, B8:G8&gt;=75, 4.5, B8:G8&gt;=70, 4, B8:G8&gt;=65, 3.5, B8:G8&gt;=60, 3, B8:G8&gt;=55, 2.5, B8:G8&gt;=50, 2, TRUE,0))</f>
        <v>2.5</v>
      </c>
      <c r="J9" s="2">
        <f t="shared" si="0"/>
        <v>2.915</v>
      </c>
    </row>
    <row r="10" spans="1:10" x14ac:dyDescent="0.35">
      <c r="A10" t="s">
        <v>8</v>
      </c>
      <c r="B10">
        <v>77</v>
      </c>
      <c r="C10">
        <v>90</v>
      </c>
      <c r="D10">
        <v>70</v>
      </c>
      <c r="E10">
        <v>78</v>
      </c>
      <c r="F10">
        <v>67</v>
      </c>
      <c r="G10">
        <v>77</v>
      </c>
      <c r="H10" s="2">
        <v>3.67</v>
      </c>
      <c r="I10" s="2" cm="1">
        <f t="array" ref="I10">AVERAGE(_xlfn.IFS(B9:G9&gt;=80, 5, B9:G9&gt;=75, 4.5, B9:G9&gt;=70, 4, B9:G9&gt;=65, 3.5, B9:G9&gt;=60, 3, B9:G9&gt;=55, 2.5, B9:G9&gt;=50, 2, TRUE,0))</f>
        <v>3.25</v>
      </c>
      <c r="J10" s="2">
        <f t="shared" si="0"/>
        <v>3.46</v>
      </c>
    </row>
    <row r="11" spans="1:10" x14ac:dyDescent="0.35">
      <c r="A11" t="s">
        <v>9</v>
      </c>
      <c r="B11">
        <v>80</v>
      </c>
      <c r="C11">
        <v>32</v>
      </c>
      <c r="D11">
        <v>45</v>
      </c>
      <c r="E11">
        <v>98</v>
      </c>
      <c r="F11">
        <v>30</v>
      </c>
      <c r="G11">
        <v>89</v>
      </c>
      <c r="H11" s="2">
        <v>4.59</v>
      </c>
      <c r="I11" s="2" cm="1">
        <f t="array" ref="I11">AVERAGE(_xlfn.IFS(B10:G10&gt;=80, 5, B10:G10&gt;=75, 4.5, B10:G10&gt;=70, 4, B10:G10&gt;=65, 3.5, B10:G10&gt;=60, 3, B10:G10&gt;=55, 2.5, B10:G10&gt;=50, 2, TRUE,0))</f>
        <v>4.333333333333333</v>
      </c>
      <c r="J11" s="2">
        <f t="shared" si="0"/>
        <v>4.461666666666666</v>
      </c>
    </row>
    <row r="12" spans="1:10" x14ac:dyDescent="0.35">
      <c r="A12" t="s">
        <v>10</v>
      </c>
      <c r="B12">
        <v>21</v>
      </c>
      <c r="C12">
        <v>49</v>
      </c>
      <c r="D12">
        <v>67</v>
      </c>
      <c r="E12">
        <v>74</v>
      </c>
      <c r="F12">
        <v>50</v>
      </c>
      <c r="G12">
        <v>65</v>
      </c>
      <c r="H12" s="2">
        <v>2.67</v>
      </c>
      <c r="I12" s="2" cm="1">
        <f t="array" ref="I12">AVERAGE(_xlfn.IFS(B11:G11&gt;=80, 5, B11:G11&gt;=75, 4.5, B11:G11&gt;=70, 4, B11:G11&gt;=65, 3.5, B11:G11&gt;=60, 3, B11:G11&gt;=55, 2.5, B11:G11&gt;=50, 2, TRUE,0))</f>
        <v>2.5</v>
      </c>
      <c r="J12" s="2">
        <f t="shared" si="0"/>
        <v>2.585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pius enyuku</dc:creator>
  <cp:lastModifiedBy>pius enyuku</cp:lastModifiedBy>
  <dcterms:created xsi:type="dcterms:W3CDTF">2026-08-31T17:11:25Z</dcterms:created>
  <dcterms:modified xsi:type="dcterms:W3CDTF">2026-09-07T08:54:03Z</dcterms:modified>
</cp:coreProperties>
</file>